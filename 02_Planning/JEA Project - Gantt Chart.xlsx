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jprun\Downloads\JEA Project\"/>
    </mc:Choice>
  </mc:AlternateContent>
  <xr:revisionPtr revIDLastSave="0" documentId="13_ncr:1_{72F35CD1-5E12-4256-A257-EA2FF61C7CB7}" xr6:coauthVersionLast="47" xr6:coauthVersionMax="47" xr10:uidLastSave="{00000000-0000-0000-0000-000000000000}"/>
  <bookViews>
    <workbookView xWindow="-108" yWindow="-108" windowWidth="23256" windowHeight="12456"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1" l="1"/>
  <c r="E9" i="11" l="1"/>
  <c r="I5" i="11" l="1"/>
  <c r="H41" i="11"/>
  <c r="H40" i="11"/>
  <c r="H30" i="11"/>
  <c r="H24" i="11"/>
  <c r="H14" i="11"/>
  <c r="H8" i="11"/>
  <c r="H25" i="11" l="1"/>
  <c r="H26" i="11"/>
  <c r="H9" i="11"/>
  <c r="E13" i="11"/>
  <c r="E15" i="11" s="1"/>
  <c r="E16" i="11" s="1"/>
  <c r="I6" i="11"/>
  <c r="H34" i="11" l="1"/>
  <c r="H31" i="11"/>
  <c r="H29" i="11"/>
  <c r="H10" i="11"/>
  <c r="H27" i="11"/>
  <c r="F16" i="11"/>
  <c r="F15" i="11"/>
  <c r="H15" i="11" s="1"/>
  <c r="F13" i="11"/>
  <c r="H13" i="11" s="1"/>
  <c r="E12" i="11"/>
  <c r="J5" i="11"/>
  <c r="K5" i="11" s="1"/>
  <c r="L5" i="11" s="1"/>
  <c r="M5" i="11" s="1"/>
  <c r="N5" i="11" s="1"/>
  <c r="O5" i="11" s="1"/>
  <c r="P5" i="11" s="1"/>
  <c r="I4" i="11"/>
  <c r="H32" i="11" l="1"/>
  <c r="H33" i="11"/>
  <c r="H28" i="11"/>
  <c r="H16" i="11"/>
  <c r="H11" i="11"/>
  <c r="F12" i="11"/>
  <c r="H12" i="11" s="1"/>
  <c r="P4" i="11"/>
  <c r="Q5" i="11"/>
  <c r="R5" i="11" s="1"/>
  <c r="S5" i="11" s="1"/>
  <c r="T5" i="11" s="1"/>
  <c r="U5" i="11" s="1"/>
  <c r="V5" i="11" s="1"/>
  <c r="W5" i="11" s="1"/>
  <c r="J6" i="11"/>
  <c r="H18" i="11" l="1"/>
  <c r="H17"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<sst xmlns="http://schemas.openxmlformats.org/spreadsheetml/2006/main" count="78" uniqueCount="64">
  <si>
    <t>Insert new rows ABOVE this one</t>
  </si>
  <si>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</si>
  <si>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</si>
  <si>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</si>
  <si>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</si>
  <si>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</si>
  <si>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</si>
  <si>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</si>
  <si>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</si>
  <si>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</si>
  <si>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</si>
  <si>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</si>
  <si>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</si>
  <si>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</si>
  <si>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</si>
  <si>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</si>
  <si>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</si>
  <si>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</si>
  <si>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</si>
  <si>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</si>
  <si>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</si>
  <si>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VanArsdel, Ltd.</t>
  </si>
  <si>
    <t>Project lead</t>
  </si>
  <si>
    <t>Gokce Aslan</t>
  </si>
  <si>
    <t>Hayden Cook</t>
  </si>
  <si>
    <t>Jens Martensson</t>
  </si>
  <si>
    <t>Nuria Acevedo</t>
  </si>
  <si>
    <t>Olivia Wilson</t>
  </si>
  <si>
    <t>Develop charter</t>
  </si>
  <si>
    <t>Set up team</t>
  </si>
  <si>
    <t>Execution</t>
  </si>
  <si>
    <t>Project start:</t>
  </si>
  <si>
    <t>Display week:</t>
  </si>
  <si>
    <t>ASSIGNED TO</t>
  </si>
  <si>
    <t>Evaluation</t>
  </si>
  <si>
    <t>JEA Fault Simulator</t>
  </si>
  <si>
    <t>Phase 0</t>
  </si>
  <si>
    <t>Initial Meeting</t>
  </si>
  <si>
    <t>Create Shared File System</t>
  </si>
  <si>
    <t>Phase 1</t>
  </si>
  <si>
    <t>Research Hardware</t>
  </si>
  <si>
    <t>Research Software</t>
  </si>
  <si>
    <t>Research Hardware/Software</t>
  </si>
  <si>
    <t>Draft One-Line Digram</t>
  </si>
  <si>
    <t>Solve Modularity/Portability Problem</t>
  </si>
  <si>
    <t>Design UI/UX</t>
  </si>
  <si>
    <t>Prelimiary Design Review (PDR)</t>
  </si>
  <si>
    <t>Draft BOM &amp; Budget Estimation</t>
  </si>
  <si>
    <t>Get BOM Approved</t>
  </si>
  <si>
    <t>Order and Receive Components</t>
  </si>
  <si>
    <t>Design Physical Components</t>
  </si>
  <si>
    <t>3D Print/Fabricate Components</t>
  </si>
  <si>
    <t>Verify Dimensions of Ordered Components</t>
  </si>
  <si>
    <t>Wire Panels According to One-Line Digram</t>
  </si>
  <si>
    <t>Build Out HMI</t>
  </si>
  <si>
    <t>Combine Controls and Hardware</t>
  </si>
  <si>
    <t>Run Ful FLISR Scenario</t>
  </si>
  <si>
    <t>Iterate on Issues Found</t>
  </si>
  <si>
    <t>Complete Milsoft Design &amp; Simulation of Model</t>
  </si>
  <si>
    <t>Draft Technical Report</t>
  </si>
  <si>
    <t>Present to JEA Senior Executives</t>
  </si>
  <si>
    <t>Demo Test for UUSS</t>
  </si>
  <si>
    <t>Polish Presentation</t>
  </si>
  <si>
    <t>Union University Scholarship Symposium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</si>
</sst>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0">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4" fillId="2" borderId="21" xfId="0" applyFont="1" applyFill="1" applyBorder="1"/>
    <xf numFmtId="0" fontId="20" fillId="11" borderId="16" xfId="0" applyFont="1" applyFill="1" applyBorder="1" applyAlignment="1">
      <alignment horizontal="center" vertical="center"/>
    </xf>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5A646D0-7432-454C-8543-8C7AFD297701}">
  <we:reference id="WA200010725" version="1.0.0.1" store="Omex" storeType="OMEX"/>
  <we:alternateReferences>
    <we:reference id="WA200010725" version="1.0.0.1" store="WA200010725" storeType="OMEX"/>
  </we:alternateReferences>
  <we:properties>
    <we:property name="claude.fileId" value="&quot;64b83366-17e3-4b4a-b9ab-c5626727b1bd&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44"/>
  <sheetViews>
    <sheetView showGridLines="0" tabSelected="1" showRuler="0" topLeftCell="A26" zoomScale="85" zoomScaleNormal="85" zoomScalePageLayoutView="70" workbookViewId="0">
      <selection activeCell="W35" sqref="W35"/>
    </sheetView>
  </sheetViews>
  <sheetFormatPr defaultColWidth="8.69921875" defaultRowHeight="30" customHeight="1" x14ac:dyDescent="0.25"/>
  <cols>
    <col min="1" max="1" width="2.69921875" style="13" customWidth="1"/>
    <col min="2" max="2" width="40.59765625" customWidth="1"/>
    <col min="3" max="3" width="16.69921875" hidden="1" customWidth="1"/>
    <col min="4" max="4" width="10.69921875" customWidth="1"/>
    <col min="5" max="5" width="10.69921875" style="2" customWidth="1"/>
    <col min="6" max="6" width="10.69921875" customWidth="1"/>
    <col min="7" max="7" width="2.69921875" customWidth="1"/>
    <col min="8" max="8" width="6" hidden="1" customWidth="1"/>
    <col min="9" max="65" width="2.69921875" customWidth="1"/>
  </cols>
  <sheetData>
    <row r="1" spans="1:64" ht="90" customHeight="1" x14ac:dyDescent="1.45">
      <c r="A1" s="14"/>
      <c r="B1" s="98" t="s">
        <v>35</v>
      </c>
      <c r="C1" s="18"/>
      <c r="D1" s="19"/>
      <c r="E1" s="20"/>
      <c r="F1" s="21"/>
      <c r="H1" s="1"/>
      <c r="I1" s="115" t="s">
        <v>31</v>
      </c>
      <c r="J1" s="116"/>
      <c r="K1" s="116"/>
      <c r="L1" s="116"/>
      <c r="M1" s="116"/>
      <c r="N1" s="116"/>
      <c r="O1" s="116"/>
      <c r="P1" s="24"/>
      <c r="Q1" s="114">
        <v>46261</v>
      </c>
      <c r="R1" s="113"/>
      <c r="S1" s="113"/>
      <c r="T1" s="113"/>
      <c r="U1" s="113"/>
      <c r="V1" s="113"/>
      <c r="W1" s="113"/>
      <c r="X1" s="113"/>
      <c r="Y1" s="113"/>
      <c r="Z1" s="113"/>
    </row>
    <row r="2" spans="1:64" ht="30" customHeight="1" x14ac:dyDescent="0.6">
      <c r="B2" s="96" t="s">
        <v>21</v>
      </c>
      <c r="C2" s="97" t="s">
        <v>22</v>
      </c>
      <c r="D2" s="22"/>
      <c r="E2" s="23"/>
      <c r="F2" s="22"/>
      <c r="I2" s="115" t="s">
        <v>32</v>
      </c>
      <c r="J2" s="116"/>
      <c r="K2" s="116"/>
      <c r="L2" s="116"/>
      <c r="M2" s="116"/>
      <c r="N2" s="116"/>
      <c r="O2" s="116"/>
      <c r="P2" s="24"/>
      <c r="Q2" s="112">
        <v>1</v>
      </c>
      <c r="R2" s="113"/>
      <c r="S2" s="113"/>
      <c r="T2" s="113"/>
      <c r="U2" s="113"/>
      <c r="V2" s="113"/>
      <c r="W2" s="113"/>
      <c r="X2" s="113"/>
      <c r="Y2" s="113"/>
      <c r="Z2" s="113"/>
    </row>
    <row r="3" spans="1:64" s="26" customFormat="1" ht="30" customHeight="1" x14ac:dyDescent="0.25">
      <c r="A3" s="13"/>
      <c r="B3" s="25" t="s">
        <v>8</v>
      </c>
      <c r="D3" s="27"/>
      <c r="E3" s="28"/>
    </row>
    <row r="4" spans="1:64" s="26" customFormat="1" ht="30" customHeight="1" x14ac:dyDescent="0.25">
      <c r="A4" s="14"/>
      <c r="B4" s="29" t="s">
        <v>13</v>
      </c>
      <c r="E4" s="30"/>
      <c r="I4" s="119">
        <f>I5</f>
        <v>46258</v>
      </c>
      <c r="J4" s="117"/>
      <c r="K4" s="117"/>
      <c r="L4" s="117"/>
      <c r="M4" s="117"/>
      <c r="N4" s="117"/>
      <c r="O4" s="117"/>
      <c r="P4" s="117">
        <f>P5</f>
        <v>46265</v>
      </c>
      <c r="Q4" s="117"/>
      <c r="R4" s="117"/>
      <c r="S4" s="117"/>
      <c r="T4" s="117"/>
      <c r="U4" s="117"/>
      <c r="V4" s="117"/>
      <c r="W4" s="117">
        <f>W5</f>
        <v>46272</v>
      </c>
      <c r="X4" s="117"/>
      <c r="Y4" s="117"/>
      <c r="Z4" s="117"/>
      <c r="AA4" s="117"/>
      <c r="AB4" s="117"/>
      <c r="AC4" s="117"/>
      <c r="AD4" s="117">
        <f>AD5</f>
        <v>46279</v>
      </c>
      <c r="AE4" s="117"/>
      <c r="AF4" s="117"/>
      <c r="AG4" s="117"/>
      <c r="AH4" s="117"/>
      <c r="AI4" s="117"/>
      <c r="AJ4" s="117"/>
      <c r="AK4" s="117">
        <f>AK5</f>
        <v>46286</v>
      </c>
      <c r="AL4" s="117"/>
      <c r="AM4" s="117"/>
      <c r="AN4" s="117"/>
      <c r="AO4" s="117"/>
      <c r="AP4" s="117"/>
      <c r="AQ4" s="117"/>
      <c r="AR4" s="117">
        <f>AR5</f>
        <v>46293</v>
      </c>
      <c r="AS4" s="117"/>
      <c r="AT4" s="117"/>
      <c r="AU4" s="117"/>
      <c r="AV4" s="117"/>
      <c r="AW4" s="117"/>
      <c r="AX4" s="117"/>
      <c r="AY4" s="117">
        <f>AY5</f>
        <v>46300</v>
      </c>
      <c r="AZ4" s="117"/>
      <c r="BA4" s="117"/>
      <c r="BB4" s="117"/>
      <c r="BC4" s="117"/>
      <c r="BD4" s="117"/>
      <c r="BE4" s="117"/>
      <c r="BF4" s="117">
        <f>BF5</f>
        <v>46307</v>
      </c>
      <c r="BG4" s="117"/>
      <c r="BH4" s="117"/>
      <c r="BI4" s="117"/>
      <c r="BJ4" s="117"/>
      <c r="BK4" s="117"/>
      <c r="BL4" s="118"/>
    </row>
    <row r="5" spans="1:64" s="26" customFormat="1" ht="15" customHeight="1" x14ac:dyDescent="0.25">
      <c r="A5" s="106"/>
      <c r="B5" s="107" t="s">
        <v>5</v>
      </c>
      <c r="C5" s="109" t="s">
        <v>33</v>
      </c>
      <c r="D5" s="111" t="s">
        <v>1</v>
      </c>
      <c r="E5" s="111" t="s">
        <v>3</v>
      </c>
      <c r="F5" s="111" t="s">
        <v>4</v>
      </c>
      <c r="I5" s="31">
        <f>Project_Start-WEEKDAY(Project_Start,1)+2+7*(Display_Week-1)</f>
        <v>46258</v>
      </c>
      <c r="J5" s="31">
        <f>I5+1</f>
        <v>46259</v>
      </c>
      <c r="K5" s="31">
        <f t="shared" ref="K5:AX5" si="0">J5+1</f>
        <v>46260</v>
      </c>
      <c r="L5" s="31">
        <f t="shared" si="0"/>
        <v>46261</v>
      </c>
      <c r="M5" s="31">
        <f t="shared" si="0"/>
        <v>46262</v>
      </c>
      <c r="N5" s="31">
        <f t="shared" si="0"/>
        <v>46263</v>
      </c>
      <c r="O5" s="32">
        <f t="shared" si="0"/>
        <v>46264</v>
      </c>
      <c r="P5" s="33">
        <f>O5+1</f>
        <v>46265</v>
      </c>
      <c r="Q5" s="31">
        <f>P5+1</f>
        <v>46266</v>
      </c>
      <c r="R5" s="31">
        <f t="shared" si="0"/>
        <v>46267</v>
      </c>
      <c r="S5" s="31">
        <f t="shared" si="0"/>
        <v>46268</v>
      </c>
      <c r="T5" s="31">
        <f t="shared" si="0"/>
        <v>46269</v>
      </c>
      <c r="U5" s="31">
        <f t="shared" si="0"/>
        <v>46270</v>
      </c>
      <c r="V5" s="32">
        <f t="shared" si="0"/>
        <v>46271</v>
      </c>
      <c r="W5" s="33">
        <f>V5+1</f>
        <v>46272</v>
      </c>
      <c r="X5" s="31">
        <f>W5+1</f>
        <v>46273</v>
      </c>
      <c r="Y5" s="31">
        <f t="shared" si="0"/>
        <v>46274</v>
      </c>
      <c r="Z5" s="31">
        <f t="shared" si="0"/>
        <v>46275</v>
      </c>
      <c r="AA5" s="31">
        <f t="shared" si="0"/>
        <v>46276</v>
      </c>
      <c r="AB5" s="31">
        <f t="shared" si="0"/>
        <v>46277</v>
      </c>
      <c r="AC5" s="32">
        <f t="shared" si="0"/>
        <v>46278</v>
      </c>
      <c r="AD5" s="33">
        <f>AC5+1</f>
        <v>46279</v>
      </c>
      <c r="AE5" s="31">
        <f>AD5+1</f>
        <v>46280</v>
      </c>
      <c r="AF5" s="31">
        <f t="shared" si="0"/>
        <v>46281</v>
      </c>
      <c r="AG5" s="31">
        <f t="shared" si="0"/>
        <v>46282</v>
      </c>
      <c r="AH5" s="31">
        <f t="shared" si="0"/>
        <v>46283</v>
      </c>
      <c r="AI5" s="31">
        <f t="shared" si="0"/>
        <v>46284</v>
      </c>
      <c r="AJ5" s="32">
        <f t="shared" si="0"/>
        <v>46285</v>
      </c>
      <c r="AK5" s="33">
        <f>AJ5+1</f>
        <v>46286</v>
      </c>
      <c r="AL5" s="31">
        <f>AK5+1</f>
        <v>46287</v>
      </c>
      <c r="AM5" s="31">
        <f t="shared" si="0"/>
        <v>46288</v>
      </c>
      <c r="AN5" s="31">
        <f t="shared" si="0"/>
        <v>46289</v>
      </c>
      <c r="AO5" s="31">
        <f t="shared" si="0"/>
        <v>46290</v>
      </c>
      <c r="AP5" s="31">
        <f t="shared" si="0"/>
        <v>46291</v>
      </c>
      <c r="AQ5" s="32">
        <f t="shared" si="0"/>
        <v>46292</v>
      </c>
      <c r="AR5" s="33">
        <f>AQ5+1</f>
        <v>46293</v>
      </c>
      <c r="AS5" s="31">
        <f>AR5+1</f>
        <v>46294</v>
      </c>
      <c r="AT5" s="31">
        <f t="shared" si="0"/>
        <v>46295</v>
      </c>
      <c r="AU5" s="31">
        <f t="shared" si="0"/>
        <v>46296</v>
      </c>
      <c r="AV5" s="31">
        <f t="shared" si="0"/>
        <v>46297</v>
      </c>
      <c r="AW5" s="31">
        <f t="shared" si="0"/>
        <v>46298</v>
      </c>
      <c r="AX5" s="32">
        <f t="shared" si="0"/>
        <v>46299</v>
      </c>
      <c r="AY5" s="33">
        <f>AX5+1</f>
        <v>46300</v>
      </c>
      <c r="AZ5" s="31">
        <f>AY5+1</f>
        <v>46301</v>
      </c>
      <c r="BA5" s="31">
        <f t="shared" ref="BA5:BE5" si="1">AZ5+1</f>
        <v>46302</v>
      </c>
      <c r="BB5" s="31">
        <f t="shared" si="1"/>
        <v>46303</v>
      </c>
      <c r="BC5" s="31">
        <f t="shared" si="1"/>
        <v>46304</v>
      </c>
      <c r="BD5" s="31">
        <f t="shared" si="1"/>
        <v>46305</v>
      </c>
      <c r="BE5" s="32">
        <f t="shared" si="1"/>
        <v>46306</v>
      </c>
      <c r="BF5" s="33">
        <f>BE5+1</f>
        <v>46307</v>
      </c>
      <c r="BG5" s="31">
        <f>BF5+1</f>
        <v>46308</v>
      </c>
      <c r="BH5" s="31">
        <f t="shared" ref="BH5:BL5" si="2">BG5+1</f>
        <v>46309</v>
      </c>
      <c r="BI5" s="31">
        <f t="shared" si="2"/>
        <v>46310</v>
      </c>
      <c r="BJ5" s="31">
        <f t="shared" si="2"/>
        <v>46311</v>
      </c>
      <c r="BK5" s="31">
        <f t="shared" si="2"/>
        <v>46312</v>
      </c>
      <c r="BL5" s="31">
        <f t="shared" si="2"/>
        <v>46313</v>
      </c>
    </row>
    <row r="6" spans="1:64" s="26" customFormat="1" ht="15" customHeight="1" thickBot="1" x14ac:dyDescent="0.3">
      <c r="A6" s="106"/>
      <c r="B6" s="108"/>
      <c r="C6" s="110"/>
      <c r="D6" s="110"/>
      <c r="E6" s="110"/>
      <c r="F6" s="110"/>
      <c r="I6" s="34" t="str">
        <f t="shared" ref="I6:AN6" si="3">LEFT(TEXT(I5,"ddd"),1)</f>
        <v>M</v>
      </c>
      <c r="J6" s="35" t="str">
        <f t="shared" si="3"/>
        <v>T</v>
      </c>
      <c r="K6" s="35" t="str">
        <f t="shared" si="3"/>
        <v>W</v>
      </c>
      <c r="L6" s="35" t="str">
        <f t="shared" si="3"/>
        <v>T</v>
      </c>
      <c r="M6" s="35" t="str">
        <f t="shared" si="3"/>
        <v>F</v>
      </c>
      <c r="N6" s="35" t="str">
        <f t="shared" si="3"/>
        <v>S</v>
      </c>
      <c r="O6" s="35" t="str">
        <f t="shared" si="3"/>
        <v>S</v>
      </c>
      <c r="P6" s="35" t="str">
        <f t="shared" si="3"/>
        <v>M</v>
      </c>
      <c r="Q6" s="35" t="str">
        <f t="shared" si="3"/>
        <v>T</v>
      </c>
      <c r="R6" s="35" t="str">
        <f t="shared" si="3"/>
        <v>W</v>
      </c>
      <c r="S6" s="35" t="str">
        <f t="shared" si="3"/>
        <v>T</v>
      </c>
      <c r="T6" s="35" t="str">
        <f t="shared" si="3"/>
        <v>F</v>
      </c>
      <c r="U6" s="35" t="str">
        <f t="shared" si="3"/>
        <v>S</v>
      </c>
      <c r="V6" s="35" t="str">
        <f t="shared" si="3"/>
        <v>S</v>
      </c>
      <c r="W6" s="35" t="str">
        <f t="shared" si="3"/>
        <v>M</v>
      </c>
      <c r="X6" s="35" t="str">
        <f t="shared" si="3"/>
        <v>T</v>
      </c>
      <c r="Y6" s="35" t="str">
        <f t="shared" si="3"/>
        <v>W</v>
      </c>
      <c r="Z6" s="35" t="str">
        <f t="shared" si="3"/>
        <v>T</v>
      </c>
      <c r="AA6" s="35" t="str">
        <f t="shared" si="3"/>
        <v>F</v>
      </c>
      <c r="AB6" s="35" t="str">
        <f t="shared" si="3"/>
        <v>S</v>
      </c>
      <c r="AC6" s="35" t="str">
        <f t="shared" si="3"/>
        <v>S</v>
      </c>
      <c r="AD6" s="35" t="str">
        <f t="shared" si="3"/>
        <v>M</v>
      </c>
      <c r="AE6" s="35" t="str">
        <f t="shared" si="3"/>
        <v>T</v>
      </c>
      <c r="AF6" s="35" t="str">
        <f t="shared" si="3"/>
        <v>W</v>
      </c>
      <c r="AG6" s="35" t="str">
        <f t="shared" si="3"/>
        <v>T</v>
      </c>
      <c r="AH6" s="35" t="str">
        <f t="shared" si="3"/>
        <v>F</v>
      </c>
      <c r="AI6" s="35" t="str">
        <f t="shared" si="3"/>
        <v>S</v>
      </c>
      <c r="AJ6" s="35" t="str">
        <f t="shared" si="3"/>
        <v>S</v>
      </c>
      <c r="AK6" s="35" t="str">
        <f t="shared" si="3"/>
        <v>M</v>
      </c>
      <c r="AL6" s="35" t="str">
        <f t="shared" si="3"/>
        <v>T</v>
      </c>
      <c r="AM6" s="35" t="str">
        <f t="shared" si="3"/>
        <v>W</v>
      </c>
      <c r="AN6" s="35" t="str">
        <f t="shared" si="3"/>
        <v>T</v>
      </c>
      <c r="AO6" s="35" t="str">
        <f t="shared" ref="AO6:BL6" si="4">LEFT(TEXT(AO5,"ddd"),1)</f>
        <v>F</v>
      </c>
      <c r="AP6" s="35" t="str">
        <f t="shared" si="4"/>
        <v>S</v>
      </c>
      <c r="AQ6" s="35" t="str">
        <f t="shared" si="4"/>
        <v>S</v>
      </c>
      <c r="AR6" s="35" t="str">
        <f t="shared" si="4"/>
        <v>M</v>
      </c>
      <c r="AS6" s="35" t="str">
        <f t="shared" si="4"/>
        <v>T</v>
      </c>
      <c r="AT6" s="35" t="str">
        <f t="shared" si="4"/>
        <v>W</v>
      </c>
      <c r="AU6" s="35" t="str">
        <f t="shared" si="4"/>
        <v>T</v>
      </c>
      <c r="AV6" s="35" t="str">
        <f t="shared" si="4"/>
        <v>F</v>
      </c>
      <c r="AW6" s="35" t="str">
        <f t="shared" si="4"/>
        <v>S</v>
      </c>
      <c r="AX6" s="35" t="str">
        <f t="shared" si="4"/>
        <v>S</v>
      </c>
      <c r="AY6" s="35" t="str">
        <f t="shared" si="4"/>
        <v>M</v>
      </c>
      <c r="AZ6" s="35" t="str">
        <f t="shared" si="4"/>
        <v>T</v>
      </c>
      <c r="BA6" s="35" t="str">
        <f t="shared" si="4"/>
        <v>W</v>
      </c>
      <c r="BB6" s="35" t="str">
        <f t="shared" si="4"/>
        <v>T</v>
      </c>
      <c r="BC6" s="35" t="str">
        <f t="shared" si="4"/>
        <v>F</v>
      </c>
      <c r="BD6" s="35" t="str">
        <f t="shared" si="4"/>
        <v>S</v>
      </c>
      <c r="BE6" s="35" t="str">
        <f t="shared" si="4"/>
        <v>S</v>
      </c>
      <c r="BF6" s="35" t="str">
        <f t="shared" si="4"/>
        <v>M</v>
      </c>
      <c r="BG6" s="35" t="str">
        <f t="shared" si="4"/>
        <v>T</v>
      </c>
      <c r="BH6" s="35" t="str">
        <f t="shared" si="4"/>
        <v>W</v>
      </c>
      <c r="BI6" s="35" t="str">
        <f t="shared" si="4"/>
        <v>T</v>
      </c>
      <c r="BJ6" s="35" t="str">
        <f t="shared" si="4"/>
        <v>F</v>
      </c>
      <c r="BK6" s="35" t="str">
        <f t="shared" si="4"/>
        <v>S</v>
      </c>
      <c r="BL6" s="36" t="str">
        <f t="shared" si="4"/>
        <v>S</v>
      </c>
    </row>
    <row r="7" spans="1:64" s="26" customFormat="1" ht="30" hidden="1" customHeight="1" thickBot="1" x14ac:dyDescent="0.3">
      <c r="A7" s="13" t="s">
        <v>20</v>
      </c>
      <c r="B7" s="37"/>
      <c r="C7" s="38"/>
      <c r="D7" s="37"/>
      <c r="E7" s="37"/>
      <c r="F7" s="37"/>
      <c r="H7" s="26" t="str">
        <f>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6" customFormat="1" ht="30" customHeight="1" thickBot="1" x14ac:dyDescent="0.3">
      <c r="A8" s="14"/>
      <c r="B8" s="40" t="s">
        <v>36</v>
      </c>
      <c r="C8" s="41"/>
      <c r="D8" s="42"/>
      <c r="E8" s="43"/>
      <c r="F8" s="44"/>
      <c r="G8" s="17"/>
      <c r="H8" s="5" t="str">
        <f t="shared" ref="H8:H41" si="5">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row>
    <row r="9" spans="1:64" s="46" customFormat="1" ht="30" customHeight="1" thickBot="1" x14ac:dyDescent="0.3">
      <c r="A9" s="14"/>
      <c r="B9" s="47" t="s">
        <v>37</v>
      </c>
      <c r="C9" s="48" t="s">
        <v>23</v>
      </c>
      <c r="D9" s="49">
        <v>1</v>
      </c>
      <c r="E9" s="50">
        <f>Project_Start</f>
        <v>46261</v>
      </c>
      <c r="F9" s="50">
        <v>46261</v>
      </c>
      <c r="G9" s="17"/>
      <c r="H9" s="5">
        <f t="shared" si="5"/>
        <v>1</v>
      </c>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row>
    <row r="10" spans="1:64" s="46" customFormat="1" ht="30" customHeight="1" thickBot="1" x14ac:dyDescent="0.3">
      <c r="A10" s="14"/>
      <c r="B10" s="52" t="s">
        <v>38</v>
      </c>
      <c r="C10" s="53" t="s">
        <v>24</v>
      </c>
      <c r="D10" s="54">
        <v>1</v>
      </c>
      <c r="E10" s="55">
        <v>46262</v>
      </c>
      <c r="F10" s="55">
        <v>46262</v>
      </c>
      <c r="G10" s="17"/>
      <c r="H10" s="5">
        <f t="shared" si="5"/>
        <v>1</v>
      </c>
      <c r="I10" s="51"/>
      <c r="J10" s="51"/>
      <c r="K10" s="51"/>
      <c r="L10" s="51"/>
      <c r="M10" s="51"/>
      <c r="N10" s="51"/>
      <c r="O10" s="51"/>
      <c r="P10" s="51"/>
      <c r="Q10" s="51"/>
      <c r="R10" s="51"/>
      <c r="S10" s="51"/>
      <c r="T10" s="51"/>
      <c r="U10" s="56"/>
      <c r="V10" s="56"/>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row>
    <row r="11" spans="1:64" s="46" customFormat="1" ht="30" customHeight="1" thickBot="1" x14ac:dyDescent="0.3">
      <c r="A11" s="13"/>
      <c r="B11" s="52" t="s">
        <v>42</v>
      </c>
      <c r="C11" s="53" t="s">
        <v>25</v>
      </c>
      <c r="D11" s="54">
        <v>0.25</v>
      </c>
      <c r="E11" s="55">
        <v>46262</v>
      </c>
      <c r="F11" s="55">
        <v>46326</v>
      </c>
      <c r="G11" s="17"/>
      <c r="H11" s="5">
        <f t="shared" si="5"/>
        <v>65</v>
      </c>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row>
    <row r="12" spans="1:64" s="46" customFormat="1" ht="30" hidden="1" customHeight="1" thickBot="1" x14ac:dyDescent="0.3">
      <c r="A12" s="13"/>
      <c r="B12" s="52" t="s">
        <v>28</v>
      </c>
      <c r="C12" s="53" t="s">
        <v>26</v>
      </c>
      <c r="D12" s="54">
        <v>0.25</v>
      </c>
      <c r="E12" s="55">
        <f>F11</f>
        <v>46326</v>
      </c>
      <c r="F12" s="55">
        <f>E12+5</f>
        <v>46331</v>
      </c>
      <c r="G12" s="17"/>
      <c r="H12" s="5">
        <f t="shared" si="5"/>
        <v>6</v>
      </c>
      <c r="I12" s="51"/>
      <c r="J12" s="51"/>
      <c r="K12" s="51"/>
      <c r="L12" s="51"/>
      <c r="M12" s="51"/>
      <c r="N12" s="51"/>
      <c r="O12" s="51"/>
      <c r="P12" s="51"/>
      <c r="Q12" s="51"/>
      <c r="R12" s="51"/>
      <c r="S12" s="51"/>
      <c r="T12" s="51"/>
      <c r="U12" s="51"/>
      <c r="V12" s="51"/>
      <c r="W12" s="51"/>
      <c r="X12" s="51"/>
      <c r="Y12" s="56"/>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row>
    <row r="13" spans="1:64" s="46" customFormat="1" ht="30" hidden="1" customHeight="1" thickBot="1" x14ac:dyDescent="0.3">
      <c r="A13" s="13"/>
      <c r="B13" s="52" t="s">
        <v>29</v>
      </c>
      <c r="C13" s="53" t="s">
        <v>27</v>
      </c>
      <c r="D13" s="54"/>
      <c r="E13" s="55">
        <f>E10+1</f>
        <v>46263</v>
      </c>
      <c r="F13" s="55">
        <f>E13+2</f>
        <v>46265</v>
      </c>
      <c r="G13" s="17"/>
      <c r="H13" s="5">
        <f t="shared" si="5"/>
        <v>3</v>
      </c>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row>
    <row r="14" spans="1:64" s="46" customFormat="1" ht="30" customHeight="1" thickBot="1" x14ac:dyDescent="0.3">
      <c r="A14" s="14"/>
      <c r="B14" s="57" t="s">
        <v>39</v>
      </c>
      <c r="C14" s="58"/>
      <c r="D14" s="59"/>
      <c r="E14" s="60"/>
      <c r="F14" s="61"/>
      <c r="G14" s="17"/>
      <c r="H14" s="5" t="str">
        <f t="shared" si="5"/>
        <v/>
      </c>
    </row>
    <row r="15" spans="1:64" s="46" customFormat="1" ht="30" hidden="1" customHeight="1" thickBot="1" x14ac:dyDescent="0.3">
      <c r="A15" s="14"/>
      <c r="B15" s="62" t="s">
        <v>40</v>
      </c>
      <c r="C15" s="63" t="s">
        <v>23</v>
      </c>
      <c r="D15" s="64">
        <v>0.5</v>
      </c>
      <c r="E15" s="65">
        <f>E13+1</f>
        <v>46264</v>
      </c>
      <c r="F15" s="65">
        <f>E15+4</f>
        <v>46268</v>
      </c>
      <c r="G15" s="17"/>
      <c r="H15" s="5">
        <f t="shared" si="5"/>
        <v>5</v>
      </c>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row>
    <row r="16" spans="1:64" s="46" customFormat="1" ht="30" hidden="1" customHeight="1" thickBot="1" x14ac:dyDescent="0.3">
      <c r="A16" s="13"/>
      <c r="B16" s="62" t="s">
        <v>41</v>
      </c>
      <c r="C16" s="63" t="s">
        <v>24</v>
      </c>
      <c r="D16" s="64">
        <v>0.5</v>
      </c>
      <c r="E16" s="65">
        <f>E15+2</f>
        <v>46266</v>
      </c>
      <c r="F16" s="65">
        <f>E16+5</f>
        <v>46271</v>
      </c>
      <c r="G16" s="17"/>
      <c r="H16" s="5">
        <f t="shared" si="5"/>
        <v>6</v>
      </c>
      <c r="I16" s="51"/>
      <c r="J16" s="51"/>
      <c r="K16" s="51"/>
      <c r="L16" s="51"/>
      <c r="M16" s="51"/>
      <c r="N16" s="51"/>
      <c r="O16" s="51"/>
      <c r="P16" s="51"/>
      <c r="Q16" s="51"/>
      <c r="R16" s="51"/>
      <c r="S16" s="51"/>
      <c r="T16" s="51"/>
      <c r="U16" s="56"/>
      <c r="V16" s="56"/>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row>
    <row r="17" spans="1:64" s="46" customFormat="1" ht="30" customHeight="1" thickBot="1" x14ac:dyDescent="0.3">
      <c r="A17" s="13"/>
      <c r="B17" s="62" t="s">
        <v>43</v>
      </c>
      <c r="C17" s="63" t="s">
        <v>25</v>
      </c>
      <c r="D17" s="64">
        <v>0.25</v>
      </c>
      <c r="E17" s="65">
        <v>46263</v>
      </c>
      <c r="F17" s="65">
        <v>46278</v>
      </c>
      <c r="G17" s="17"/>
      <c r="H17" s="5">
        <f t="shared" si="5"/>
        <v>16</v>
      </c>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row>
    <row r="18" spans="1:64" s="46" customFormat="1" ht="30" customHeight="1" thickBot="1" x14ac:dyDescent="0.3">
      <c r="A18" s="13"/>
      <c r="B18" s="62" t="s">
        <v>44</v>
      </c>
      <c r="C18" s="63" t="s">
        <v>26</v>
      </c>
      <c r="D18" s="64">
        <v>0.25</v>
      </c>
      <c r="E18" s="65">
        <v>46263</v>
      </c>
      <c r="F18" s="65">
        <v>46278</v>
      </c>
      <c r="G18" s="17"/>
      <c r="H18" s="5">
        <f t="shared" si="5"/>
        <v>16</v>
      </c>
      <c r="I18" s="51"/>
      <c r="J18" s="51"/>
      <c r="K18" s="51"/>
      <c r="L18" s="51"/>
      <c r="M18" s="51"/>
      <c r="N18" s="51"/>
      <c r="O18" s="51"/>
      <c r="P18" s="51"/>
      <c r="Q18" s="51"/>
      <c r="R18" s="51"/>
      <c r="S18" s="51"/>
      <c r="T18" s="51"/>
      <c r="U18" s="51"/>
      <c r="V18" s="51"/>
      <c r="W18" s="51"/>
      <c r="X18" s="51"/>
      <c r="Y18" s="56"/>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row>
    <row r="19" spans="1:64" s="46" customFormat="1" ht="30" customHeight="1" thickBot="1" x14ac:dyDescent="0.3">
      <c r="A19" s="13"/>
      <c r="B19" s="62" t="s">
        <v>45</v>
      </c>
      <c r="C19" s="63"/>
      <c r="D19" s="64">
        <v>0.15</v>
      </c>
      <c r="E19" s="65">
        <v>46279</v>
      </c>
      <c r="F19" s="65">
        <v>46292</v>
      </c>
      <c r="G19" s="17"/>
      <c r="H19" s="5"/>
      <c r="I19" s="51"/>
      <c r="J19" s="51"/>
      <c r="K19" s="51"/>
      <c r="L19" s="51"/>
      <c r="M19" s="51"/>
      <c r="N19" s="51"/>
      <c r="O19" s="51"/>
      <c r="P19" s="51"/>
      <c r="Q19" s="51"/>
      <c r="R19" s="51"/>
      <c r="S19" s="51"/>
      <c r="T19" s="51"/>
      <c r="U19" s="51"/>
      <c r="V19" s="51"/>
      <c r="W19" s="51"/>
      <c r="X19" s="51"/>
      <c r="Y19" s="56"/>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row>
    <row r="20" spans="1:64" s="46" customFormat="1" ht="30" customHeight="1" thickBot="1" x14ac:dyDescent="0.3">
      <c r="A20" s="13"/>
      <c r="B20" s="62" t="s">
        <v>46</v>
      </c>
      <c r="C20" s="63"/>
      <c r="D20" s="64">
        <v>0</v>
      </c>
      <c r="E20" s="65">
        <v>46295</v>
      </c>
      <c r="F20" s="65">
        <v>46295</v>
      </c>
      <c r="G20" s="17"/>
      <c r="H20" s="5"/>
      <c r="I20" s="51"/>
      <c r="J20" s="51"/>
      <c r="K20" s="51"/>
      <c r="L20" s="51"/>
      <c r="M20" s="51"/>
      <c r="N20" s="51"/>
      <c r="O20" s="51"/>
      <c r="P20" s="51"/>
      <c r="Q20" s="51"/>
      <c r="R20" s="51"/>
      <c r="S20" s="51"/>
      <c r="T20" s="51"/>
      <c r="U20" s="51"/>
      <c r="V20" s="51"/>
      <c r="W20" s="51"/>
      <c r="X20" s="51"/>
      <c r="Y20" s="56"/>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row>
    <row r="21" spans="1:64" s="46" customFormat="1" ht="30" customHeight="1" thickBot="1" x14ac:dyDescent="0.3">
      <c r="A21" s="13"/>
      <c r="B21" s="62" t="s">
        <v>47</v>
      </c>
      <c r="C21" s="63"/>
      <c r="D21" s="64">
        <v>0</v>
      </c>
      <c r="E21" s="65">
        <v>46296</v>
      </c>
      <c r="F21" s="65">
        <v>46306</v>
      </c>
      <c r="G21" s="17"/>
      <c r="H21" s="5"/>
      <c r="I21" s="51"/>
      <c r="J21" s="51"/>
      <c r="K21" s="51"/>
      <c r="L21" s="51"/>
      <c r="M21" s="51"/>
      <c r="N21" s="51"/>
      <c r="O21" s="51"/>
      <c r="P21" s="51"/>
      <c r="Q21" s="51"/>
      <c r="R21" s="51"/>
      <c r="S21" s="51"/>
      <c r="T21" s="51"/>
      <c r="U21" s="51"/>
      <c r="V21" s="51"/>
      <c r="W21" s="51"/>
      <c r="X21" s="51"/>
      <c r="Y21" s="56"/>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row>
    <row r="22" spans="1:64" s="46" customFormat="1" ht="30" customHeight="1" thickBot="1" x14ac:dyDescent="0.3">
      <c r="A22" s="13"/>
      <c r="B22" s="62" t="s">
        <v>48</v>
      </c>
      <c r="C22" s="63"/>
      <c r="D22" s="64">
        <v>0</v>
      </c>
      <c r="E22" s="65">
        <v>46307</v>
      </c>
      <c r="F22" s="65">
        <v>46307</v>
      </c>
      <c r="G22" s="17"/>
      <c r="H22" s="5"/>
      <c r="I22" s="51"/>
      <c r="J22" s="51"/>
      <c r="K22" s="51"/>
      <c r="L22" s="51"/>
      <c r="M22" s="51"/>
      <c r="N22" s="51"/>
      <c r="O22" s="51"/>
      <c r="P22" s="51"/>
      <c r="Q22" s="51"/>
      <c r="R22" s="51"/>
      <c r="S22" s="51"/>
      <c r="T22" s="51"/>
      <c r="U22" s="51"/>
      <c r="V22" s="51"/>
      <c r="W22" s="51"/>
      <c r="X22" s="51"/>
      <c r="Y22" s="56"/>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row>
    <row r="23" spans="1:64" s="46" customFormat="1" ht="30" customHeight="1" thickBot="1" x14ac:dyDescent="0.3">
      <c r="A23" s="13"/>
      <c r="B23" s="62" t="s">
        <v>49</v>
      </c>
      <c r="C23" s="63"/>
      <c r="D23" s="64">
        <v>0</v>
      </c>
      <c r="E23" s="65">
        <v>46308</v>
      </c>
      <c r="F23" s="65">
        <v>46322</v>
      </c>
      <c r="G23" s="17"/>
      <c r="H23" s="5"/>
      <c r="I23" s="51"/>
      <c r="J23" s="51"/>
      <c r="K23" s="51"/>
      <c r="L23" s="51"/>
      <c r="M23" s="51"/>
      <c r="N23" s="51"/>
      <c r="O23" s="51"/>
      <c r="P23" s="51"/>
      <c r="Q23" s="51"/>
      <c r="R23" s="51"/>
      <c r="S23" s="51"/>
      <c r="T23" s="51"/>
      <c r="U23" s="51"/>
      <c r="V23" s="51"/>
      <c r="W23" s="51"/>
      <c r="X23" s="51"/>
      <c r="Y23" s="56"/>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row>
    <row r="24" spans="1:64" s="46" customFormat="1" ht="30" customHeight="1" thickBot="1" x14ac:dyDescent="0.3">
      <c r="A24" s="13"/>
      <c r="B24" s="66" t="s">
        <v>30</v>
      </c>
      <c r="C24" s="67"/>
      <c r="D24" s="68"/>
      <c r="E24" s="69"/>
      <c r="F24" s="70"/>
      <c r="G24" s="17"/>
      <c r="H24" s="5" t="str">
        <f t="shared" si="5"/>
        <v/>
      </c>
      <c r="I24" s="71"/>
      <c r="J24" s="71"/>
      <c r="K24" s="71"/>
      <c r="L24" s="71"/>
      <c r="M24" s="71"/>
      <c r="N24" s="71"/>
      <c r="O24" s="71"/>
      <c r="P24" s="71"/>
      <c r="Q24" s="71"/>
      <c r="R24" s="71"/>
      <c r="S24" s="71"/>
      <c r="T24" s="71"/>
      <c r="U24" s="71"/>
      <c r="V24" s="71"/>
      <c r="W24" s="71"/>
      <c r="X24" s="71"/>
      <c r="Y24" s="71"/>
      <c r="Z24" s="71"/>
      <c r="AA24" s="71"/>
      <c r="AB24" s="71"/>
      <c r="AC24" s="71"/>
      <c r="AD24" s="71"/>
      <c r="AE24" s="71"/>
      <c r="AF24" s="71"/>
      <c r="AG24" s="71"/>
      <c r="AH24" s="71"/>
      <c r="AI24" s="71"/>
      <c r="AJ24" s="71"/>
      <c r="AK24" s="71"/>
      <c r="AL24" s="71"/>
      <c r="AM24" s="71"/>
      <c r="AN24" s="71"/>
      <c r="AO24" s="71"/>
      <c r="AP24" s="71"/>
      <c r="AQ24" s="71"/>
      <c r="AR24" s="71"/>
      <c r="AS24" s="71"/>
      <c r="AT24" s="71"/>
      <c r="AU24" s="71"/>
      <c r="AV24" s="71"/>
      <c r="AW24" s="71"/>
      <c r="AX24" s="71"/>
      <c r="AY24" s="71"/>
      <c r="AZ24" s="71"/>
      <c r="BA24" s="71"/>
      <c r="BB24" s="71"/>
      <c r="BC24" s="71"/>
      <c r="BD24" s="71"/>
      <c r="BE24" s="71"/>
      <c r="BF24" s="71"/>
      <c r="BG24" s="71"/>
      <c r="BH24" s="71"/>
      <c r="BI24" s="71"/>
      <c r="BJ24" s="71"/>
      <c r="BK24" s="71"/>
      <c r="BL24" s="71"/>
    </row>
    <row r="25" spans="1:64" s="46" customFormat="1" ht="30" customHeight="1" thickBot="1" x14ac:dyDescent="0.3">
      <c r="A25" s="13"/>
      <c r="B25" s="72" t="s">
        <v>50</v>
      </c>
      <c r="C25" s="73" t="s">
        <v>23</v>
      </c>
      <c r="D25" s="74">
        <v>0</v>
      </c>
      <c r="E25" s="75"/>
      <c r="F25" s="75"/>
      <c r="G25" s="17"/>
      <c r="H25" s="5" t="str">
        <f t="shared" si="5"/>
        <v/>
      </c>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row>
    <row r="26" spans="1:64" s="46" customFormat="1" ht="30" customHeight="1" thickBot="1" x14ac:dyDescent="0.3">
      <c r="A26" s="13"/>
      <c r="B26" s="72" t="s">
        <v>51</v>
      </c>
      <c r="C26" s="73" t="s">
        <v>24</v>
      </c>
      <c r="D26" s="74">
        <v>0</v>
      </c>
      <c r="E26" s="75"/>
      <c r="F26" s="75"/>
      <c r="G26" s="17"/>
      <c r="H26" s="5" t="str">
        <f t="shared" si="5"/>
        <v/>
      </c>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row>
    <row r="27" spans="1:64" s="46" customFormat="1" ht="30" customHeight="1" thickBot="1" x14ac:dyDescent="0.3">
      <c r="A27" s="13"/>
      <c r="B27" s="72" t="s">
        <v>52</v>
      </c>
      <c r="C27" s="73" t="s">
        <v>25</v>
      </c>
      <c r="D27" s="74">
        <v>0</v>
      </c>
      <c r="E27" s="75"/>
      <c r="F27" s="75"/>
      <c r="G27" s="17"/>
      <c r="H27" s="5" t="str">
        <f t="shared" si="5"/>
        <v/>
      </c>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row>
    <row r="28" spans="1:64" s="46" customFormat="1" ht="30" customHeight="1" thickBot="1" x14ac:dyDescent="0.3">
      <c r="A28" s="13"/>
      <c r="B28" s="72" t="s">
        <v>53</v>
      </c>
      <c r="C28" s="73" t="s">
        <v>26</v>
      </c>
      <c r="D28" s="74">
        <v>0</v>
      </c>
      <c r="E28" s="75"/>
      <c r="F28" s="75"/>
      <c r="G28" s="17"/>
      <c r="H28" s="5" t="str">
        <f t="shared" si="5"/>
        <v/>
      </c>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row>
    <row r="29" spans="1:64" s="46" customFormat="1" ht="30" customHeight="1" thickBot="1" x14ac:dyDescent="0.3">
      <c r="A29" s="13"/>
      <c r="B29" s="72" t="s">
        <v>54</v>
      </c>
      <c r="C29" s="73" t="s">
        <v>27</v>
      </c>
      <c r="D29" s="74">
        <v>0</v>
      </c>
      <c r="E29" s="75"/>
      <c r="F29" s="75"/>
      <c r="G29" s="17"/>
      <c r="H29" s="5" t="str">
        <f t="shared" si="5"/>
        <v/>
      </c>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row>
    <row r="30" spans="1:64" s="46" customFormat="1" ht="30" customHeight="1" thickBot="1" x14ac:dyDescent="0.3">
      <c r="A30" s="13"/>
      <c r="B30" s="76" t="s">
        <v>34</v>
      </c>
      <c r="C30" s="77"/>
      <c r="D30" s="78"/>
      <c r="E30" s="79"/>
      <c r="F30" s="80"/>
      <c r="G30" s="17"/>
      <c r="H30" s="5" t="str">
        <f t="shared" si="5"/>
        <v/>
      </c>
      <c r="I30" s="81"/>
      <c r="J30" s="81"/>
      <c r="K30" s="81"/>
      <c r="L30" s="81"/>
      <c r="M30" s="81"/>
      <c r="N30" s="81"/>
      <c r="O30" s="81"/>
      <c r="P30" s="81"/>
      <c r="Q30" s="81"/>
      <c r="R30" s="81"/>
      <c r="S30" s="81"/>
      <c r="T30" s="81"/>
      <c r="U30" s="81"/>
      <c r="V30" s="81"/>
      <c r="W30" s="81"/>
      <c r="X30" s="81"/>
      <c r="Y30" s="81"/>
      <c r="Z30" s="81"/>
      <c r="AA30" s="81"/>
      <c r="AB30" s="81"/>
      <c r="AC30" s="81"/>
      <c r="AD30" s="81"/>
      <c r="AE30" s="81"/>
      <c r="AF30" s="81"/>
      <c r="AG30" s="81"/>
      <c r="AH30" s="81"/>
      <c r="AI30" s="81"/>
      <c r="AJ30" s="81"/>
      <c r="AK30" s="81"/>
      <c r="AL30" s="81"/>
      <c r="AM30" s="81"/>
      <c r="AN30" s="81"/>
      <c r="AO30" s="81"/>
      <c r="AP30" s="81"/>
      <c r="AQ30" s="81"/>
      <c r="AR30" s="81"/>
      <c r="AS30" s="81"/>
      <c r="AT30" s="81"/>
      <c r="AU30" s="81"/>
      <c r="AV30" s="81"/>
      <c r="AW30" s="81"/>
      <c r="AX30" s="81"/>
      <c r="AY30" s="81"/>
      <c r="AZ30" s="81"/>
      <c r="BA30" s="81"/>
      <c r="BB30" s="81"/>
      <c r="BC30" s="81"/>
      <c r="BD30" s="81"/>
      <c r="BE30" s="81"/>
      <c r="BF30" s="81"/>
      <c r="BG30" s="81"/>
      <c r="BH30" s="81"/>
      <c r="BI30" s="81"/>
      <c r="BJ30" s="81"/>
      <c r="BK30" s="81"/>
      <c r="BL30" s="81"/>
    </row>
    <row r="31" spans="1:64" s="46" customFormat="1" ht="30" customHeight="1" thickBot="1" x14ac:dyDescent="0.3">
      <c r="A31" s="13"/>
      <c r="B31" s="82" t="s">
        <v>55</v>
      </c>
      <c r="C31" s="83" t="s">
        <v>23</v>
      </c>
      <c r="D31" s="84">
        <v>0</v>
      </c>
      <c r="E31" s="85"/>
      <c r="F31" s="85"/>
      <c r="G31" s="17"/>
      <c r="H31" s="5" t="str">
        <f t="shared" si="5"/>
        <v/>
      </c>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row>
    <row r="32" spans="1:64" s="46" customFormat="1" ht="30" customHeight="1" thickBot="1" x14ac:dyDescent="0.3">
      <c r="A32" s="13"/>
      <c r="B32" s="82" t="s">
        <v>56</v>
      </c>
      <c r="C32" s="83" t="s">
        <v>24</v>
      </c>
      <c r="D32" s="84">
        <v>0</v>
      </c>
      <c r="E32" s="85"/>
      <c r="F32" s="85"/>
      <c r="G32" s="17"/>
      <c r="H32" s="5" t="str">
        <f t="shared" si="5"/>
        <v/>
      </c>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row>
    <row r="33" spans="1:64" s="46" customFormat="1" ht="30" customHeight="1" thickBot="1" x14ac:dyDescent="0.3">
      <c r="A33" s="13"/>
      <c r="B33" s="82" t="s">
        <v>57</v>
      </c>
      <c r="C33" s="83" t="s">
        <v>25</v>
      </c>
      <c r="D33" s="84">
        <v>0</v>
      </c>
      <c r="E33" s="85"/>
      <c r="F33" s="85"/>
      <c r="G33" s="17"/>
      <c r="H33" s="5" t="str">
        <f t="shared" si="5"/>
        <v/>
      </c>
      <c r="I33" s="51"/>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1"/>
      <c r="BJ33" s="51"/>
      <c r="BK33" s="51"/>
      <c r="BL33" s="51"/>
    </row>
    <row r="34" spans="1:64" s="46" customFormat="1" ht="30" customHeight="1" thickBot="1" x14ac:dyDescent="0.3">
      <c r="A34" s="13"/>
      <c r="B34" s="82" t="s">
        <v>58</v>
      </c>
      <c r="C34" s="83" t="s">
        <v>26</v>
      </c>
      <c r="D34" s="84">
        <v>0</v>
      </c>
      <c r="E34" s="85"/>
      <c r="F34" s="85"/>
      <c r="G34" s="17"/>
      <c r="H34" s="5" t="str">
        <f t="shared" si="5"/>
        <v/>
      </c>
      <c r="I34" s="51"/>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c r="BG34" s="51"/>
      <c r="BH34" s="51"/>
      <c r="BI34" s="51"/>
      <c r="BJ34" s="51"/>
      <c r="BK34" s="51"/>
      <c r="BL34" s="51"/>
    </row>
    <row r="35" spans="1:64" s="46" customFormat="1" ht="30" customHeight="1" thickBot="1" x14ac:dyDescent="0.3">
      <c r="A35" s="13"/>
      <c r="B35" s="82" t="s">
        <v>59</v>
      </c>
      <c r="C35" s="83"/>
      <c r="D35" s="84">
        <v>0</v>
      </c>
      <c r="E35" s="85"/>
      <c r="F35" s="85"/>
      <c r="G35" s="17"/>
      <c r="H35" s="5"/>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c r="BA35" s="51"/>
      <c r="BB35" s="51"/>
      <c r="BC35" s="51"/>
      <c r="BD35" s="51"/>
      <c r="BE35" s="51"/>
      <c r="BF35" s="51"/>
      <c r="BG35" s="51"/>
      <c r="BH35" s="51"/>
      <c r="BI35" s="51"/>
      <c r="BJ35" s="51"/>
      <c r="BK35" s="51"/>
      <c r="BL35" s="51"/>
    </row>
    <row r="36" spans="1:64" s="46" customFormat="1" ht="30" customHeight="1" thickBot="1" x14ac:dyDescent="0.3">
      <c r="A36" s="13"/>
      <c r="B36" s="82" t="s">
        <v>60</v>
      </c>
      <c r="C36" s="83"/>
      <c r="D36" s="84">
        <v>0</v>
      </c>
      <c r="E36" s="85"/>
      <c r="F36" s="85"/>
      <c r="G36" s="17"/>
      <c r="H36" s="5"/>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row>
    <row r="37" spans="1:64" s="46" customFormat="1" ht="30" customHeight="1" thickBot="1" x14ac:dyDescent="0.3">
      <c r="A37" s="13"/>
      <c r="B37" s="82" t="s">
        <v>61</v>
      </c>
      <c r="C37" s="83"/>
      <c r="D37" s="84">
        <v>0</v>
      </c>
      <c r="E37" s="85"/>
      <c r="F37" s="85"/>
      <c r="G37" s="17"/>
      <c r="H37" s="5"/>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row>
    <row r="38" spans="1:64" s="46" customFormat="1" ht="30" customHeight="1" thickBot="1" x14ac:dyDescent="0.3">
      <c r="A38" s="13"/>
      <c r="B38" s="82" t="s">
        <v>62</v>
      </c>
      <c r="C38" s="83"/>
      <c r="D38" s="84">
        <v>0</v>
      </c>
      <c r="E38" s="85">
        <v>46478</v>
      </c>
      <c r="F38" s="85">
        <v>46482</v>
      </c>
      <c r="G38" s="17"/>
      <c r="H38" s="5"/>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c r="AV38" s="51"/>
      <c r="AW38" s="51"/>
      <c r="AX38" s="51"/>
      <c r="AY38" s="51"/>
      <c r="AZ38" s="51"/>
      <c r="BA38" s="51"/>
      <c r="BB38" s="51"/>
      <c r="BC38" s="51"/>
      <c r="BD38" s="51"/>
      <c r="BE38" s="51"/>
      <c r="BF38" s="51"/>
      <c r="BG38" s="51"/>
      <c r="BH38" s="51"/>
      <c r="BI38" s="51"/>
      <c r="BJ38" s="51"/>
      <c r="BK38" s="51"/>
      <c r="BL38" s="51"/>
    </row>
    <row r="39" spans="1:64" s="46" customFormat="1" ht="30" customHeight="1" thickBot="1" x14ac:dyDescent="0.3">
      <c r="A39" s="13"/>
      <c r="B39" s="82" t="s">
        <v>63</v>
      </c>
      <c r="C39" s="83"/>
      <c r="D39" s="84">
        <v>0</v>
      </c>
      <c r="E39" s="85">
        <v>46483</v>
      </c>
      <c r="F39" s="85">
        <v>46483</v>
      </c>
      <c r="G39" s="17"/>
      <c r="H39" s="5"/>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1"/>
      <c r="AY39" s="51"/>
      <c r="AZ39" s="51"/>
      <c r="BA39" s="51"/>
      <c r="BB39" s="51"/>
      <c r="BC39" s="51"/>
      <c r="BD39" s="51"/>
      <c r="BE39" s="51"/>
      <c r="BF39" s="51"/>
      <c r="BG39" s="51"/>
      <c r="BH39" s="51"/>
      <c r="BI39" s="51"/>
      <c r="BJ39" s="51"/>
      <c r="BK39" s="51"/>
      <c r="BL39" s="51"/>
    </row>
    <row r="40" spans="1:64" s="46" customFormat="1" ht="30" customHeight="1" thickBot="1" x14ac:dyDescent="0.3">
      <c r="A40" s="13"/>
      <c r="B40" s="86"/>
      <c r="C40" s="87"/>
      <c r="D40" s="88"/>
      <c r="E40" s="89"/>
      <c r="F40" s="89"/>
      <c r="G40" s="17"/>
      <c r="H40" s="5" t="str">
        <f t="shared" si="5"/>
        <v/>
      </c>
      <c r="I40" s="45"/>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45"/>
      <c r="AV40" s="45"/>
      <c r="AW40" s="45"/>
      <c r="AX40" s="45"/>
      <c r="AY40" s="45"/>
      <c r="AZ40" s="45"/>
      <c r="BA40" s="45"/>
      <c r="BB40" s="45"/>
      <c r="BC40" s="45"/>
      <c r="BD40" s="45"/>
      <c r="BE40" s="45"/>
      <c r="BF40" s="45"/>
      <c r="BG40" s="45"/>
      <c r="BH40" s="45"/>
      <c r="BI40" s="45"/>
      <c r="BJ40" s="45"/>
      <c r="BK40" s="45"/>
      <c r="BL40" s="45"/>
    </row>
    <row r="41" spans="1:64" s="46" customFormat="1" ht="30" customHeight="1" thickBot="1" x14ac:dyDescent="0.3">
      <c r="A41" s="14"/>
      <c r="B41" s="90" t="s">
        <v>0</v>
      </c>
      <c r="C41" s="91"/>
      <c r="D41" s="92"/>
      <c r="E41" s="93"/>
      <c r="F41" s="94"/>
      <c r="G41" s="17"/>
      <c r="H41" s="6" t="str">
        <f t="shared" si="5"/>
        <v/>
      </c>
      <c r="I41" s="95"/>
      <c r="J41" s="95"/>
      <c r="K41" s="95"/>
      <c r="L41" s="95"/>
      <c r="M41" s="95"/>
      <c r="N41" s="95"/>
      <c r="O41" s="95"/>
      <c r="P41" s="95"/>
      <c r="Q41" s="95"/>
      <c r="R41" s="95"/>
      <c r="S41" s="95"/>
      <c r="T41" s="95"/>
      <c r="U41" s="95"/>
      <c r="V41" s="95"/>
      <c r="W41" s="95"/>
      <c r="X41" s="95"/>
      <c r="Y41" s="95"/>
      <c r="Z41" s="95"/>
      <c r="AA41" s="95"/>
      <c r="AB41" s="95"/>
      <c r="AC41" s="95"/>
      <c r="AD41" s="95"/>
      <c r="AE41" s="95"/>
      <c r="AF41" s="95"/>
      <c r="AG41" s="95"/>
      <c r="AH41" s="95"/>
      <c r="AI41" s="95"/>
      <c r="AJ41" s="95"/>
      <c r="AK41" s="95"/>
      <c r="AL41" s="95"/>
      <c r="AM41" s="95"/>
      <c r="AN41" s="95"/>
      <c r="AO41" s="95"/>
      <c r="AP41" s="95"/>
      <c r="AQ41" s="95"/>
      <c r="AR41" s="95"/>
      <c r="AS41" s="95"/>
      <c r="AT41" s="95"/>
      <c r="AU41" s="95"/>
      <c r="AV41" s="95"/>
      <c r="AW41" s="95"/>
      <c r="AX41" s="95"/>
      <c r="AY41" s="95"/>
      <c r="AZ41" s="95"/>
      <c r="BA41" s="95"/>
      <c r="BB41" s="95"/>
      <c r="BC41" s="95"/>
      <c r="BD41" s="95"/>
      <c r="BE41" s="95"/>
      <c r="BF41" s="95"/>
      <c r="BG41" s="95"/>
      <c r="BH41" s="95"/>
      <c r="BI41" s="95"/>
      <c r="BJ41" s="95"/>
      <c r="BK41" s="95"/>
      <c r="BL41" s="95"/>
    </row>
    <row r="42" spans="1:64" ht="30" customHeight="1" x14ac:dyDescent="0.25">
      <c r="G42" s="3"/>
    </row>
    <row r="43" spans="1:64" ht="30" customHeight="1" x14ac:dyDescent="0.25">
      <c r="C43" s="16"/>
      <c r="F43" s="15"/>
    </row>
    <row r="44" spans="1:64" ht="30" customHeight="1" x14ac:dyDescent="0.25">
      <c r="C44"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41">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39">
    <cfRule type="expression" dxfId="8" priority="1">
      <formula>AND(TODAY()&gt;=I$5, TODAY()&lt;J$5)</formula>
    </cfRule>
  </conditionalFormatting>
  <conditionalFormatting sqref="I9:BL13">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5:BL23">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25:BL29">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31:BL39">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4" xr:uid="{956902D1-D3B5-416D-BB69-9362D193BC0A}"/>
    <dataValidation allowBlank="1" showInputMessage="1" showErrorMessage="1" prompt="Phase 4's sample block starts in cell B26." sqref="A30"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41"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topLeftCell="A5" zoomScaleNormal="100" workbookViewId="0">
      <selection activeCell="A10" sqref="A10"/>
    </sheetView>
  </sheetViews>
  <sheetFormatPr defaultColWidth="9" defaultRowHeight="13.2" x14ac:dyDescent="0.25"/>
  <cols>
    <col min="1" max="1" width="87" style="7" customWidth="1"/>
    <col min="2" max="16384" width="9" style="1"/>
  </cols>
  <sheetData>
    <row r="1" spans="1:2" ht="46.5" customHeight="1" x14ac:dyDescent="0.25"/>
    <row r="2" spans="1:2" s="9" customFormat="1" ht="15.6" x14ac:dyDescent="0.25">
      <c r="A2" s="99" t="s">
        <v>8</v>
      </c>
      <c r="B2" s="8"/>
    </row>
    <row r="3" spans="1:2" s="11" customFormat="1" ht="27" customHeight="1" x14ac:dyDescent="0.25">
      <c r="A3" s="100"/>
      <c r="B3" s="12"/>
    </row>
    <row r="4" spans="1:2" s="10" customFormat="1" ht="30" x14ac:dyDescent="0.7">
      <c r="A4" s="101" t="s">
        <v>7</v>
      </c>
    </row>
    <row r="5" spans="1:2" ht="74.25" customHeight="1" x14ac:dyDescent="0.25">
      <c r="A5" s="102" t="s">
        <v>16</v>
      </c>
    </row>
    <row r="6" spans="1:2" ht="26.25" customHeight="1" x14ac:dyDescent="0.25">
      <c r="A6" s="101" t="s">
        <v>19</v>
      </c>
    </row>
    <row r="7" spans="1:2" s="7" customFormat="1" ht="205.05" customHeight="1" x14ac:dyDescent="0.25">
      <c r="A7" s="103" t="s">
        <v>18</v>
      </c>
    </row>
    <row r="8" spans="1:2" s="10" customFormat="1" ht="30" x14ac:dyDescent="0.7">
      <c r="A8" s="101" t="s">
        <v>9</v>
      </c>
    </row>
    <row r="9" spans="1:2" ht="41.4" x14ac:dyDescent="0.25">
      <c r="A9" s="102" t="s">
        <v>17</v>
      </c>
    </row>
    <row r="10" spans="1:2" s="7" customFormat="1" ht="28.05" customHeight="1" x14ac:dyDescent="0.25">
      <c r="A10" s="104" t="s">
        <v>15</v>
      </c>
    </row>
    <row r="11" spans="1:2" s="10" customFormat="1" ht="30" x14ac:dyDescent="0.7">
      <c r="A11" s="101" t="s">
        <v>6</v>
      </c>
    </row>
    <row r="12" spans="1:2" ht="27.6" x14ac:dyDescent="0.25">
      <c r="A12" s="102" t="s">
        <v>14</v>
      </c>
    </row>
    <row r="13" spans="1:2" s="7" customFormat="1" ht="28.05" customHeight="1" x14ac:dyDescent="0.25">
      <c r="A13" s="104" t="s">
        <v>2</v>
      </c>
    </row>
    <row r="14" spans="1:2" s="10" customFormat="1" ht="30" x14ac:dyDescent="0.7">
      <c r="A14" s="101" t="s">
        <v>10</v>
      </c>
    </row>
    <row r="15" spans="1:2" ht="75" customHeight="1" x14ac:dyDescent="0.25">
      <c r="A15" s="102" t="s">
        <v>11</v>
      </c>
    </row>
    <row r="16" spans="1:2" ht="69" x14ac:dyDescent="0.25">
      <c r="A16" s="102" t="s">
        <v>12</v>
      </c>
    </row>
    <row r="17" spans="1:1" x14ac:dyDescent="0.25">
      <c r="A17" s="105"/>
    </row>
    <row r="18" spans="1:1" x14ac:dyDescent="0.25">
      <c r="A18" s="105"/>
    </row>
    <row r="19" spans="1:1" x14ac:dyDescent="0.25">
      <c r="A19" s="105"/>
    </row>
    <row r="20" spans="1:1" x14ac:dyDescent="0.25">
      <c r="A20" s="105"/>
    </row>
    <row r="21" spans="1:1" x14ac:dyDescent="0.25">
      <c r="A21" s="105"/>
    </row>
    <row r="22" spans="1:1" x14ac:dyDescent="0.25">
      <c r="A22" s="105"/>
    </row>
    <row r="23" spans="1:1" x14ac:dyDescent="0.25">
      <c r="A23" s="105"/>
    </row>
    <row r="24" spans="1:1" x14ac:dyDescent="0.25">
      <c r="A24" s="105"/>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Jordan Prunty</dc:creator>
  <dc:description/>
  <cp:lastModifiedBy>Jordan Prunty</cp:lastModifiedBy>
  <dcterms:created xsi:type="dcterms:W3CDTF">2022-03-11T22:41:12Z</dcterms:created>
  <dcterms:modified xsi:type="dcterms:W3CDTF">2026-09-07T18:27:45Z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